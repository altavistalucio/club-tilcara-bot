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CENTES\Documents\Lucio\Tup\OE\TPI\"/>
    </mc:Choice>
  </mc:AlternateContent>
  <bookViews>
    <workbookView xWindow="0" yWindow="0" windowWidth="15345" windowHeight="4575" activeTab="2"/>
  </bookViews>
  <sheets>
    <sheet name="Jugadores" sheetId="1" r:id="rId1"/>
    <sheet name="Historial Licencias" sheetId="2" r:id="rId2"/>
    <sheet name="Diccionario de Datos" sheetId="3" r:id="rId3"/>
  </sheets>
  <calcPr calcId="162913"/>
</workbook>
</file>

<file path=xl/calcChain.xml><?xml version="1.0" encoding="utf-8"?>
<calcChain xmlns="http://schemas.openxmlformats.org/spreadsheetml/2006/main">
  <c r="G14" i="1" l="1"/>
  <c r="F14" i="1"/>
  <c r="H13" i="1"/>
  <c r="H12" i="1"/>
  <c r="H11" i="1"/>
  <c r="H10" i="1"/>
  <c r="H9" i="1"/>
  <c r="H8" i="1"/>
  <c r="H7" i="1"/>
  <c r="H6" i="1"/>
  <c r="H5" i="1"/>
  <c r="H4" i="1"/>
  <c r="H14" i="1" s="1"/>
</calcChain>
</file>

<file path=xl/sharedStrings.xml><?xml version="1.0" encoding="utf-8"?>
<sst xmlns="http://schemas.openxmlformats.org/spreadsheetml/2006/main" count="189" uniqueCount="118">
  <si>
    <t>Club Tilcara — Planilla de Jugadores y Licencias</t>
  </si>
  <si>
    <t>Base de datos simulada — TPI Organización Empresarial</t>
  </si>
  <si>
    <t>ID</t>
  </si>
  <si>
    <t>Apellido y Nombre</t>
  </si>
  <si>
    <t>DNI</t>
  </si>
  <si>
    <t>Posicion</t>
  </si>
  <si>
    <t>Categoria</t>
  </si>
  <si>
    <t>Dias Disponibles</t>
  </si>
  <si>
    <t>Dias Usados</t>
  </si>
  <si>
    <t>Dias Totales</t>
  </si>
  <si>
    <t>Estado</t>
  </si>
  <si>
    <t>Obs.</t>
  </si>
  <si>
    <t>Ferreyra, Marcos</t>
  </si>
  <si>
    <t>32145678</t>
  </si>
  <si>
    <t>Pilar</t>
  </si>
  <si>
    <t>Primera</t>
  </si>
  <si>
    <t>Activo</t>
  </si>
  <si>
    <t>Gomez, Sebastian</t>
  </si>
  <si>
    <t>28976543</t>
  </si>
  <si>
    <t>Hooker</t>
  </si>
  <si>
    <t>En licencia</t>
  </si>
  <si>
    <t>Licencia medica</t>
  </si>
  <si>
    <t>Rios, Facundo</t>
  </si>
  <si>
    <t>35421098</t>
  </si>
  <si>
    <t>Apertura</t>
  </si>
  <si>
    <t>Molina, Diego</t>
  </si>
  <si>
    <t>30654321</t>
  </si>
  <si>
    <t>Fullback</t>
  </si>
  <si>
    <t>Pocos dias</t>
  </si>
  <si>
    <t>Perez, Tomas</t>
  </si>
  <si>
    <t>33789012</t>
  </si>
  <si>
    <t>Ala</t>
  </si>
  <si>
    <t>M20</t>
  </si>
  <si>
    <t>Navarro, Julian</t>
  </si>
  <si>
    <t>29345678</t>
  </si>
  <si>
    <t>Centro</t>
  </si>
  <si>
    <t>Suspendido</t>
  </si>
  <si>
    <t>Tarjeta roja</t>
  </si>
  <si>
    <t>Torres, Agustin</t>
  </si>
  <si>
    <t>36012345</t>
  </si>
  <si>
    <t>Benitez, Cristian</t>
  </si>
  <si>
    <t>31567890</t>
  </si>
  <si>
    <t>Medio Scrum</t>
  </si>
  <si>
    <t>Cardozo, Leandro</t>
  </si>
  <si>
    <t>34234567</t>
  </si>
  <si>
    <t>Segunda</t>
  </si>
  <si>
    <t>Villalba, Rodrigo</t>
  </si>
  <si>
    <t>27890123</t>
  </si>
  <si>
    <t>Wing</t>
  </si>
  <si>
    <t>Vacaciones</t>
  </si>
  <si>
    <t>TOTALES</t>
  </si>
  <si>
    <t>ID Solicitud</t>
  </si>
  <si>
    <t>ID Jugador</t>
  </si>
  <si>
    <t>Jugador</t>
  </si>
  <si>
    <t>Fecha Solicitud</t>
  </si>
  <si>
    <t>Dias Solicitados</t>
  </si>
  <si>
    <t>Motivo</t>
  </si>
  <si>
    <t>Estado DT</t>
  </si>
  <si>
    <t>Fecha Resolucion</t>
  </si>
  <si>
    <t>Observaciones</t>
  </si>
  <si>
    <t>2025-04-10</t>
  </si>
  <si>
    <t>Viaje familiar</t>
  </si>
  <si>
    <t>Aprobado</t>
  </si>
  <si>
    <t>2025-04-11</t>
  </si>
  <si>
    <t>2025-04-15</t>
  </si>
  <si>
    <t>Lesion rodilla</t>
  </si>
  <si>
    <t>Con cert. medico</t>
  </si>
  <si>
    <t>2025-05-01</t>
  </si>
  <si>
    <t>Asuntos personales</t>
  </si>
  <si>
    <t>2025-05-02</t>
  </si>
  <si>
    <t>2025-05-10</t>
  </si>
  <si>
    <t>2025-05-20</t>
  </si>
  <si>
    <t>Viaje al exterior</t>
  </si>
  <si>
    <t>2025-05-21</t>
  </si>
  <si>
    <t>2025-06-01</t>
  </si>
  <si>
    <t>Vacaciones anuales</t>
  </si>
  <si>
    <t>2025-06-05</t>
  </si>
  <si>
    <t>Estudio / examenes</t>
  </si>
  <si>
    <t>2025-06-10</t>
  </si>
  <si>
    <t>Tramites personales</t>
  </si>
  <si>
    <t>Rechazado</t>
  </si>
  <si>
    <t>Partido clave</t>
  </si>
  <si>
    <t>Diccionario de Datos — Club Tilcara</t>
  </si>
  <si>
    <t>Campo</t>
  </si>
  <si>
    <t>Tipo</t>
  </si>
  <si>
    <t>Descripcion</t>
  </si>
  <si>
    <t>Valores posibles</t>
  </si>
  <si>
    <t>Obligatorio</t>
  </si>
  <si>
    <t>Entero</t>
  </si>
  <si>
    <t>Identificador unico del jugador</t>
  </si>
  <si>
    <t>1 al 999</t>
  </si>
  <si>
    <t>Si</t>
  </si>
  <si>
    <t>Texto</t>
  </si>
  <si>
    <t>Nombre completo del jugador</t>
  </si>
  <si>
    <t>Texto libre</t>
  </si>
  <si>
    <t>Documento nacional de identidad</t>
  </si>
  <si>
    <t>8 digitos numericos</t>
  </si>
  <si>
    <t>Puesto en el campo de juego</t>
  </si>
  <si>
    <t>Pilar, Hooker, Segunda, etc.</t>
  </si>
  <si>
    <t>Division del jugador</t>
  </si>
  <si>
    <t>Primera, M20, M18</t>
  </si>
  <si>
    <t>Dias de licencia que puede tomar</t>
  </si>
  <si>
    <t>0 a 15</t>
  </si>
  <si>
    <t>Dias de licencia ya utilizados</t>
  </si>
  <si>
    <t>Formula</t>
  </si>
  <si>
    <t>Suma de disponibles y usados</t>
  </si>
  <si>
    <t>Formula =F+G</t>
  </si>
  <si>
    <t>Auto</t>
  </si>
  <si>
    <t>Situacion actual del jugador</t>
  </si>
  <si>
    <t>Activo / En licencia / Suspendido</t>
  </si>
  <si>
    <t>Notas adicionales del jugador</t>
  </si>
  <si>
    <t>Texto libre, opcional</t>
  </si>
  <si>
    <t>No</t>
  </si>
  <si>
    <t>Numero unico de cada solicitud</t>
  </si>
  <si>
    <t>1 al 9999</t>
  </si>
  <si>
    <t>Razon de la licencia solicitada</t>
  </si>
  <si>
    <t>Decision del Director Tecnico</t>
  </si>
  <si>
    <t>Aprobado / Rechazado / 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</si>
</sst>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FFFFFF"/>
      <name val="Arial"/>
    </font>
    <font>
      <b/>
      <sz val="10"/>
      <name val="Arial"/>
    </font>
    <font>
      <b/>
      <sz val="13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BDD7EE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0" fontId="6" fillId="8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righ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pane ySplit="3" topLeftCell="A4" activePane="bottomLeft" state="frozen"/>
      <selection pane="bottomLeft" sqref="A1:J1"/>
    </sheetView>
  </sheetViews>
  <sheetFormatPr baseColWidth="10" defaultColWidth="9.140625" defaultRowHeight="15" x14ac:dyDescent="0.25"/>
  <cols>
    <col min="1" max="1" width="5" customWidth="1"/>
    <col min="2" max="2" width="28" customWidth="1"/>
    <col min="3" max="3" width="14" customWidth="1"/>
    <col min="4" max="4" width="16" customWidth="1"/>
    <col min="5" max="5" width="12" customWidth="1"/>
    <col min="6" max="6" width="18" customWidth="1"/>
    <col min="7" max="8" width="14" customWidth="1"/>
    <col min="9" max="9" width="16" customWidth="1"/>
    <col min="10" max="10" width="22" customWidth="1"/>
  </cols>
  <sheetData>
    <row r="1" spans="1:10" ht="30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8" customHeight="1" x14ac:dyDescent="0.25">
      <c r="A2" s="15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36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25">
      <c r="A4" s="2">
        <v>1</v>
      </c>
      <c r="B4" s="3" t="s">
        <v>12</v>
      </c>
      <c r="C4" s="2" t="s">
        <v>13</v>
      </c>
      <c r="D4" s="3" t="s">
        <v>14</v>
      </c>
      <c r="E4" s="3" t="s">
        <v>15</v>
      </c>
      <c r="F4" s="2">
        <v>15</v>
      </c>
      <c r="G4" s="2">
        <v>5</v>
      </c>
      <c r="H4" s="2">
        <f t="shared" ref="H4:H13" si="0">F4+G4</f>
        <v>20</v>
      </c>
      <c r="I4" s="4" t="s">
        <v>16</v>
      </c>
      <c r="J4" s="3"/>
    </row>
    <row r="5" spans="1:10" x14ac:dyDescent="0.25">
      <c r="A5" s="5">
        <v>2</v>
      </c>
      <c r="B5" s="6" t="s">
        <v>17</v>
      </c>
      <c r="C5" s="5" t="s">
        <v>18</v>
      </c>
      <c r="D5" s="6" t="s">
        <v>19</v>
      </c>
      <c r="E5" s="6" t="s">
        <v>15</v>
      </c>
      <c r="F5" s="5">
        <v>0</v>
      </c>
      <c r="G5" s="5">
        <v>15</v>
      </c>
      <c r="H5" s="5">
        <f t="shared" si="0"/>
        <v>15</v>
      </c>
      <c r="I5" s="7" t="s">
        <v>20</v>
      </c>
      <c r="J5" s="6" t="s">
        <v>21</v>
      </c>
    </row>
    <row r="6" spans="1:10" x14ac:dyDescent="0.25">
      <c r="A6" s="2">
        <v>3</v>
      </c>
      <c r="B6" s="3" t="s">
        <v>22</v>
      </c>
      <c r="C6" s="2" t="s">
        <v>23</v>
      </c>
      <c r="D6" s="3" t="s">
        <v>24</v>
      </c>
      <c r="E6" s="3" t="s">
        <v>15</v>
      </c>
      <c r="F6" s="2">
        <v>10</v>
      </c>
      <c r="G6" s="2">
        <v>0</v>
      </c>
      <c r="H6" s="2">
        <f t="shared" si="0"/>
        <v>10</v>
      </c>
      <c r="I6" s="4" t="s">
        <v>16</v>
      </c>
      <c r="J6" s="3"/>
    </row>
    <row r="7" spans="1:10" x14ac:dyDescent="0.25">
      <c r="A7" s="5">
        <v>4</v>
      </c>
      <c r="B7" s="6" t="s">
        <v>25</v>
      </c>
      <c r="C7" s="5" t="s">
        <v>26</v>
      </c>
      <c r="D7" s="6" t="s">
        <v>27</v>
      </c>
      <c r="E7" s="6" t="s">
        <v>15</v>
      </c>
      <c r="F7" s="5">
        <v>3</v>
      </c>
      <c r="G7" s="5">
        <v>12</v>
      </c>
      <c r="H7" s="5">
        <f t="shared" si="0"/>
        <v>15</v>
      </c>
      <c r="I7" s="4" t="s">
        <v>16</v>
      </c>
      <c r="J7" s="6" t="s">
        <v>28</v>
      </c>
    </row>
    <row r="8" spans="1:10" x14ac:dyDescent="0.25">
      <c r="A8" s="2">
        <v>5</v>
      </c>
      <c r="B8" s="3" t="s">
        <v>29</v>
      </c>
      <c r="C8" s="2" t="s">
        <v>30</v>
      </c>
      <c r="D8" s="3" t="s">
        <v>31</v>
      </c>
      <c r="E8" s="3" t="s">
        <v>32</v>
      </c>
      <c r="F8" s="2">
        <v>15</v>
      </c>
      <c r="G8" s="2">
        <v>0</v>
      </c>
      <c r="H8" s="2">
        <f t="shared" si="0"/>
        <v>15</v>
      </c>
      <c r="I8" s="4" t="s">
        <v>16</v>
      </c>
      <c r="J8" s="3"/>
    </row>
    <row r="9" spans="1:10" x14ac:dyDescent="0.25">
      <c r="A9" s="5">
        <v>6</v>
      </c>
      <c r="B9" s="6" t="s">
        <v>33</v>
      </c>
      <c r="C9" s="5" t="s">
        <v>34</v>
      </c>
      <c r="D9" s="6" t="s">
        <v>35</v>
      </c>
      <c r="E9" s="6" t="s">
        <v>15</v>
      </c>
      <c r="F9" s="5">
        <v>0</v>
      </c>
      <c r="G9" s="5">
        <v>10</v>
      </c>
      <c r="H9" s="5">
        <f t="shared" si="0"/>
        <v>10</v>
      </c>
      <c r="I9" s="8" t="s">
        <v>36</v>
      </c>
      <c r="J9" s="6" t="s">
        <v>37</v>
      </c>
    </row>
    <row r="10" spans="1:10" x14ac:dyDescent="0.25">
      <c r="A10" s="2">
        <v>7</v>
      </c>
      <c r="B10" s="3" t="s">
        <v>38</v>
      </c>
      <c r="C10" s="2" t="s">
        <v>39</v>
      </c>
      <c r="D10" s="3" t="s">
        <v>14</v>
      </c>
      <c r="E10" s="3" t="s">
        <v>32</v>
      </c>
      <c r="F10" s="2">
        <v>8</v>
      </c>
      <c r="G10" s="2">
        <v>7</v>
      </c>
      <c r="H10" s="2">
        <f t="shared" si="0"/>
        <v>15</v>
      </c>
      <c r="I10" s="4" t="s">
        <v>16</v>
      </c>
      <c r="J10" s="3"/>
    </row>
    <row r="11" spans="1:10" x14ac:dyDescent="0.25">
      <c r="A11" s="5">
        <v>8</v>
      </c>
      <c r="B11" s="6" t="s">
        <v>40</v>
      </c>
      <c r="C11" s="5" t="s">
        <v>41</v>
      </c>
      <c r="D11" s="6" t="s">
        <v>42</v>
      </c>
      <c r="E11" s="6" t="s">
        <v>15</v>
      </c>
      <c r="F11" s="5">
        <v>15</v>
      </c>
      <c r="G11" s="5">
        <v>0</v>
      </c>
      <c r="H11" s="5">
        <f t="shared" si="0"/>
        <v>15</v>
      </c>
      <c r="I11" s="4" t="s">
        <v>16</v>
      </c>
      <c r="J11" s="6"/>
    </row>
    <row r="12" spans="1:10" x14ac:dyDescent="0.25">
      <c r="A12" s="2">
        <v>9</v>
      </c>
      <c r="B12" s="3" t="s">
        <v>43</v>
      </c>
      <c r="C12" s="2" t="s">
        <v>44</v>
      </c>
      <c r="D12" s="3" t="s">
        <v>45</v>
      </c>
      <c r="E12" s="3" t="s">
        <v>32</v>
      </c>
      <c r="F12" s="2">
        <v>5</v>
      </c>
      <c r="G12" s="2">
        <v>10</v>
      </c>
      <c r="H12" s="2">
        <f t="shared" si="0"/>
        <v>15</v>
      </c>
      <c r="I12" s="4" t="s">
        <v>16</v>
      </c>
      <c r="J12" s="3"/>
    </row>
    <row r="13" spans="1:10" x14ac:dyDescent="0.25">
      <c r="A13" s="5">
        <v>10</v>
      </c>
      <c r="B13" s="6" t="s">
        <v>46</v>
      </c>
      <c r="C13" s="5" t="s">
        <v>47</v>
      </c>
      <c r="D13" s="6" t="s">
        <v>48</v>
      </c>
      <c r="E13" s="6" t="s">
        <v>15</v>
      </c>
      <c r="F13" s="5">
        <v>0</v>
      </c>
      <c r="G13" s="5">
        <v>15</v>
      </c>
      <c r="H13" s="5">
        <f t="shared" si="0"/>
        <v>15</v>
      </c>
      <c r="I13" s="7" t="s">
        <v>20</v>
      </c>
      <c r="J13" s="6" t="s">
        <v>49</v>
      </c>
    </row>
    <row r="14" spans="1:10" x14ac:dyDescent="0.25">
      <c r="A14" s="12" t="s">
        <v>50</v>
      </c>
      <c r="B14" s="13"/>
      <c r="C14" s="13"/>
      <c r="D14" s="13"/>
      <c r="E14" s="13"/>
      <c r="F14" s="9">
        <f>SUM(F4:F13)</f>
        <v>71</v>
      </c>
      <c r="G14" s="9">
        <f>SUM(G4:G13)</f>
        <v>74</v>
      </c>
      <c r="H14" s="9">
        <f>SUM(H4:H13)</f>
        <v>145</v>
      </c>
    </row>
  </sheetData>
  <mergeCells count="3">
    <mergeCell ref="A14:E14"/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4" customWidth="1"/>
    <col min="2" max="2" width="12" customWidth="1"/>
    <col min="3" max="3" width="26" customWidth="1"/>
    <col min="4" max="5" width="18" customWidth="1"/>
    <col min="6" max="6" width="24" customWidth="1"/>
    <col min="7" max="7" width="14" customWidth="1"/>
    <col min="8" max="8" width="20" customWidth="1"/>
    <col min="9" max="9" width="24" customWidth="1"/>
  </cols>
  <sheetData>
    <row r="1" spans="1:9" ht="36" customHeight="1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</row>
    <row r="2" spans="1:9" x14ac:dyDescent="0.25">
      <c r="A2" s="2">
        <v>1</v>
      </c>
      <c r="B2" s="2">
        <v>3</v>
      </c>
      <c r="C2" s="3" t="s">
        <v>22</v>
      </c>
      <c r="D2" s="3" t="s">
        <v>60</v>
      </c>
      <c r="E2" s="2">
        <v>5</v>
      </c>
      <c r="F2" s="3" t="s">
        <v>61</v>
      </c>
      <c r="G2" s="10" t="s">
        <v>62</v>
      </c>
      <c r="H2" s="2" t="s">
        <v>63</v>
      </c>
      <c r="I2" s="3"/>
    </row>
    <row r="3" spans="1:9" x14ac:dyDescent="0.25">
      <c r="A3" s="5">
        <v>2</v>
      </c>
      <c r="B3" s="5">
        <v>2</v>
      </c>
      <c r="C3" s="6" t="s">
        <v>17</v>
      </c>
      <c r="D3" s="6" t="s">
        <v>64</v>
      </c>
      <c r="E3" s="5">
        <v>15</v>
      </c>
      <c r="F3" s="6" t="s">
        <v>65</v>
      </c>
      <c r="G3" s="10" t="s">
        <v>62</v>
      </c>
      <c r="H3" s="5" t="s">
        <v>64</v>
      </c>
      <c r="I3" s="6" t="s">
        <v>66</v>
      </c>
    </row>
    <row r="4" spans="1:9" x14ac:dyDescent="0.25">
      <c r="A4" s="2">
        <v>3</v>
      </c>
      <c r="B4" s="2">
        <v>4</v>
      </c>
      <c r="C4" s="3" t="s">
        <v>25</v>
      </c>
      <c r="D4" s="3" t="s">
        <v>67</v>
      </c>
      <c r="E4" s="2">
        <v>3</v>
      </c>
      <c r="F4" s="3" t="s">
        <v>68</v>
      </c>
      <c r="G4" s="10" t="s">
        <v>62</v>
      </c>
      <c r="H4" s="2" t="s">
        <v>69</v>
      </c>
      <c r="I4" s="3"/>
    </row>
    <row r="5" spans="1:9" x14ac:dyDescent="0.25">
      <c r="A5" s="5">
        <v>4</v>
      </c>
      <c r="B5" s="5">
        <v>1</v>
      </c>
      <c r="C5" s="6" t="s">
        <v>12</v>
      </c>
      <c r="D5" s="6" t="s">
        <v>70</v>
      </c>
      <c r="E5" s="5">
        <v>5</v>
      </c>
      <c r="F5" s="6" t="s">
        <v>49</v>
      </c>
      <c r="G5" s="10" t="s">
        <v>62</v>
      </c>
      <c r="H5" s="5" t="s">
        <v>70</v>
      </c>
      <c r="I5" s="6"/>
    </row>
    <row r="6" spans="1:9" x14ac:dyDescent="0.25">
      <c r="A6" s="2">
        <v>5</v>
      </c>
      <c r="B6" s="2">
        <v>9</v>
      </c>
      <c r="C6" s="3" t="s">
        <v>43</v>
      </c>
      <c r="D6" s="3" t="s">
        <v>71</v>
      </c>
      <c r="E6" s="2">
        <v>10</v>
      </c>
      <c r="F6" s="3" t="s">
        <v>72</v>
      </c>
      <c r="G6" s="10" t="s">
        <v>62</v>
      </c>
      <c r="H6" s="2" t="s">
        <v>73</v>
      </c>
      <c r="I6" s="3"/>
    </row>
    <row r="7" spans="1:9" x14ac:dyDescent="0.25">
      <c r="A7" s="5">
        <v>6</v>
      </c>
      <c r="B7" s="5">
        <v>10</v>
      </c>
      <c r="C7" s="6" t="s">
        <v>46</v>
      </c>
      <c r="D7" s="6" t="s">
        <v>74</v>
      </c>
      <c r="E7" s="5">
        <v>15</v>
      </c>
      <c r="F7" s="6" t="s">
        <v>75</v>
      </c>
      <c r="G7" s="10" t="s">
        <v>62</v>
      </c>
      <c r="H7" s="5" t="s">
        <v>74</v>
      </c>
      <c r="I7" s="6"/>
    </row>
    <row r="8" spans="1:9" x14ac:dyDescent="0.25">
      <c r="A8" s="2">
        <v>7</v>
      </c>
      <c r="B8" s="2">
        <v>7</v>
      </c>
      <c r="C8" s="3" t="s">
        <v>38</v>
      </c>
      <c r="D8" s="3" t="s">
        <v>76</v>
      </c>
      <c r="E8" s="2">
        <v>7</v>
      </c>
      <c r="F8" s="3" t="s">
        <v>77</v>
      </c>
      <c r="G8" s="10" t="s">
        <v>62</v>
      </c>
      <c r="H8" s="2" t="s">
        <v>76</v>
      </c>
      <c r="I8" s="3"/>
    </row>
    <row r="9" spans="1:9" x14ac:dyDescent="0.25">
      <c r="A9" s="5">
        <v>8</v>
      </c>
      <c r="B9" s="5">
        <v>5</v>
      </c>
      <c r="C9" s="6" t="s">
        <v>29</v>
      </c>
      <c r="D9" s="6" t="s">
        <v>78</v>
      </c>
      <c r="E9" s="5">
        <v>3</v>
      </c>
      <c r="F9" s="6" t="s">
        <v>79</v>
      </c>
      <c r="G9" s="11" t="s">
        <v>80</v>
      </c>
      <c r="H9" s="5" t="s">
        <v>78</v>
      </c>
      <c r="I9" s="6" t="s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sqref="A1:E1"/>
    </sheetView>
  </sheetViews>
  <sheetFormatPr baseColWidth="10" defaultColWidth="9.140625" defaultRowHeight="15" x14ac:dyDescent="0.25"/>
  <cols>
    <col min="1" max="1" width="22" customWidth="1"/>
    <col min="2" max="2" width="12" customWidth="1"/>
    <col min="3" max="3" width="36" customWidth="1"/>
    <col min="4" max="4" width="34" customWidth="1"/>
    <col min="5" max="5" width="14" customWidth="1"/>
  </cols>
  <sheetData>
    <row r="1" spans="1:5" ht="27.95" customHeight="1" x14ac:dyDescent="0.25">
      <c r="A1" s="16" t="s">
        <v>82</v>
      </c>
      <c r="B1" s="13"/>
      <c r="C1" s="13"/>
      <c r="D1" s="13"/>
      <c r="E1" s="13"/>
    </row>
    <row r="2" spans="1:5" x14ac:dyDescent="0.25">
      <c r="A2" s="1" t="s">
        <v>83</v>
      </c>
      <c r="B2" s="1" t="s">
        <v>84</v>
      </c>
      <c r="C2" s="1" t="s">
        <v>85</v>
      </c>
      <c r="D2" s="1" t="s">
        <v>86</v>
      </c>
      <c r="E2" s="1" t="s">
        <v>87</v>
      </c>
    </row>
    <row r="3" spans="1:5" x14ac:dyDescent="0.25">
      <c r="A3" s="3" t="s">
        <v>2</v>
      </c>
      <c r="B3" s="2" t="s">
        <v>88</v>
      </c>
      <c r="C3" s="3" t="s">
        <v>89</v>
      </c>
      <c r="D3" s="3" t="s">
        <v>90</v>
      </c>
      <c r="E3" s="2" t="s">
        <v>91</v>
      </c>
    </row>
    <row r="4" spans="1:5" x14ac:dyDescent="0.25">
      <c r="A4" s="6" t="s">
        <v>3</v>
      </c>
      <c r="B4" s="5" t="s">
        <v>92</v>
      </c>
      <c r="C4" s="6" t="s">
        <v>93</v>
      </c>
      <c r="D4" s="6" t="s">
        <v>94</v>
      </c>
      <c r="E4" s="5" t="s">
        <v>91</v>
      </c>
    </row>
    <row r="5" spans="1:5" x14ac:dyDescent="0.25">
      <c r="A5" s="3" t="s">
        <v>4</v>
      </c>
      <c r="B5" s="2" t="s">
        <v>92</v>
      </c>
      <c r="C5" s="3" t="s">
        <v>95</v>
      </c>
      <c r="D5" s="3" t="s">
        <v>96</v>
      </c>
      <c r="E5" s="2" t="s">
        <v>91</v>
      </c>
    </row>
    <row r="6" spans="1:5" x14ac:dyDescent="0.25">
      <c r="A6" s="6" t="s">
        <v>5</v>
      </c>
      <c r="B6" s="5" t="s">
        <v>92</v>
      </c>
      <c r="C6" s="6" t="s">
        <v>97</v>
      </c>
      <c r="D6" s="6" t="s">
        <v>98</v>
      </c>
      <c r="E6" s="5" t="s">
        <v>91</v>
      </c>
    </row>
    <row r="7" spans="1:5" x14ac:dyDescent="0.25">
      <c r="A7" s="3" t="s">
        <v>6</v>
      </c>
      <c r="B7" s="2" t="s">
        <v>92</v>
      </c>
      <c r="C7" s="3" t="s">
        <v>99</v>
      </c>
      <c r="D7" s="3" t="s">
        <v>100</v>
      </c>
      <c r="E7" s="2" t="s">
        <v>91</v>
      </c>
    </row>
    <row r="8" spans="1:5" x14ac:dyDescent="0.25">
      <c r="A8" s="6" t="s">
        <v>7</v>
      </c>
      <c r="B8" s="5" t="s">
        <v>88</v>
      </c>
      <c r="C8" s="6" t="s">
        <v>101</v>
      </c>
      <c r="D8" s="6" t="s">
        <v>102</v>
      </c>
      <c r="E8" s="5" t="s">
        <v>91</v>
      </c>
    </row>
    <row r="9" spans="1:5" x14ac:dyDescent="0.25">
      <c r="A9" s="3" t="s">
        <v>8</v>
      </c>
      <c r="B9" s="2" t="s">
        <v>88</v>
      </c>
      <c r="C9" s="3" t="s">
        <v>103</v>
      </c>
      <c r="D9" s="3" t="s">
        <v>102</v>
      </c>
      <c r="E9" s="2" t="s">
        <v>91</v>
      </c>
    </row>
    <row r="10" spans="1:5" x14ac:dyDescent="0.25">
      <c r="A10" s="6" t="s">
        <v>9</v>
      </c>
      <c r="B10" s="5" t="s">
        <v>104</v>
      </c>
      <c r="C10" s="6" t="s">
        <v>105</v>
      </c>
      <c r="D10" s="6" t="s">
        <v>106</v>
      </c>
      <c r="E10" s="5" t="s">
        <v>107</v>
      </c>
    </row>
    <row r="11" spans="1:5" x14ac:dyDescent="0.25">
      <c r="A11" s="3" t="s">
        <v>10</v>
      </c>
      <c r="B11" s="2" t="s">
        <v>92</v>
      </c>
      <c r="C11" s="3" t="s">
        <v>108</v>
      </c>
      <c r="D11" s="3" t="s">
        <v>109</v>
      </c>
      <c r="E11" s="2" t="s">
        <v>91</v>
      </c>
    </row>
    <row r="12" spans="1:5" x14ac:dyDescent="0.25">
      <c r="A12" s="6" t="s">
        <v>11</v>
      </c>
      <c r="B12" s="5" t="s">
        <v>92</v>
      </c>
      <c r="C12" s="6" t="s">
        <v>110</v>
      </c>
      <c r="D12" s="6" t="s">
        <v>111</v>
      </c>
      <c r="E12" s="5" t="s">
        <v>112</v>
      </c>
    </row>
    <row r="13" spans="1:5" x14ac:dyDescent="0.25">
      <c r="A13" s="3" t="s">
        <v>51</v>
      </c>
      <c r="B13" s="2" t="s">
        <v>88</v>
      </c>
      <c r="C13" s="3" t="s">
        <v>113</v>
      </c>
      <c r="D13" s="3" t="s">
        <v>114</v>
      </c>
      <c r="E13" s="2" t="s">
        <v>91</v>
      </c>
    </row>
    <row r="14" spans="1:5" x14ac:dyDescent="0.25">
      <c r="A14" s="6" t="s">
        <v>56</v>
      </c>
      <c r="B14" s="5" t="s">
        <v>92</v>
      </c>
      <c r="C14" s="6" t="s">
        <v>115</v>
      </c>
      <c r="D14" s="6" t="s">
        <v>94</v>
      </c>
      <c r="E14" s="5" t="s">
        <v>91</v>
      </c>
    </row>
    <row r="15" spans="1:5" x14ac:dyDescent="0.25">
      <c r="A15" s="3" t="s">
        <v>57</v>
      </c>
      <c r="B15" s="2" t="s">
        <v>92</v>
      </c>
      <c r="C15" s="3" t="s">
        <v>116</v>
      </c>
      <c r="D15" s="3" t="s">
        <v>117</v>
      </c>
      <c r="E15" s="2" t="s">
        <v>91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Jugadores</vt:lpstr>
      <vt:lpstr>Historial Licencias</vt:lpstr>
      <vt:lpstr>Diccionario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DOCENTES</cp:lastModifiedBy>
  <dcterms:created xsi:type="dcterms:W3CDTF">2026-06-09T00:13:20Z</dcterms:created>
  <dcterms:modified xsi:type="dcterms:W3CDTF">2026-06-09T00:26:45Z</dcterms:modified>
</cp:coreProperties>
</file>